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 i Wytyczne" sheetId="1" state="visible" r:id="rId1"/>
    <sheet xmlns:r="http://schemas.openxmlformats.org/officeDocument/2006/relationships" name="Trening A (FBW A)" sheetId="2" state="visible" r:id="rId2"/>
    <sheet xmlns:r="http://schemas.openxmlformats.org/officeDocument/2006/relationships" name="Trening B (FBW B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AECEE"/>
      <sz val="11"/>
    </font>
    <font>
      <name val="Segoe UI"/>
      <b val="1"/>
      <color rgb="001B2631"/>
      <sz val="13"/>
    </font>
    <font>
      <name val="Segoe UI"/>
      <b val="1"/>
      <color rgb="001B2631"/>
      <sz val="10"/>
    </font>
    <font>
      <name val="Segoe UI"/>
      <color rgb="002C3E50"/>
      <sz val="9.5"/>
    </font>
    <font>
      <name val="Segoe UI"/>
      <b val="1"/>
      <color rgb="00FFFFFF"/>
      <sz val="10"/>
    </font>
    <font>
      <name val="Segoe UI"/>
      <b val="1"/>
      <color rgb="001B4F72"/>
      <sz val="9.5"/>
    </font>
    <font>
      <name val="Segoe UI"/>
      <i val="1"/>
      <color rgb="00566573"/>
      <sz val="9"/>
    </font>
    <font>
      <name val="Segoe UI"/>
      <b val="1"/>
      <color rgb="001A5276"/>
      <sz val="9.5"/>
      <u val="single"/>
    </font>
    <font>
      <name val="Segoe UI"/>
      <b val="1"/>
      <color rgb="007D6608"/>
      <sz val="9.5"/>
    </font>
    <font>
      <name val="Segoe UI"/>
      <b val="1"/>
      <color rgb="004A235A"/>
      <sz val="9.5"/>
    </font>
    <font>
      <name val="Segoe UI"/>
      <b val="1"/>
      <color rgb="001B2631"/>
      <sz val="12"/>
    </font>
    <font>
      <name val="Segoe UI"/>
      <i val="1"/>
      <color rgb="001B4F72"/>
      <sz val="10"/>
    </font>
  </fonts>
  <fills count="12">
    <fill>
      <patternFill/>
    </fill>
    <fill>
      <patternFill patternType="gray125"/>
    </fill>
    <fill>
      <patternFill patternType="solid">
        <fgColor rgb="002E4053"/>
        <bgColor rgb="002E4053"/>
      </patternFill>
    </fill>
    <fill>
      <patternFill patternType="solid">
        <fgColor rgb="0034495E"/>
        <bgColor rgb="0034495E"/>
      </patternFill>
    </fill>
    <fill>
      <patternFill patternType="solid">
        <fgColor rgb="00F8F9F9"/>
        <bgColor rgb="00F8F9F9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FEF9E7"/>
        <bgColor rgb="00FEF9E7"/>
      </patternFill>
    </fill>
    <fill>
      <patternFill patternType="solid">
        <fgColor rgb="00EBDEF0"/>
        <bgColor rgb="00EBDEF0"/>
      </patternFill>
    </fill>
    <fill>
      <patternFill patternType="solid">
        <fgColor rgb="00F5EEF8"/>
        <bgColor rgb="00F5EEF8"/>
      </patternFill>
    </fill>
    <fill>
      <patternFill patternType="solid">
        <fgColor rgb="00E8F8F5"/>
        <bgColor rgb="00E8F8F5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 style="thin">
        <color rgb="00D5D8DC"/>
      </left>
      <right style="thin">
        <color rgb="00D5D8DC"/>
      </right>
      <top style="thin">
        <color rgb="00D5D8DC"/>
      </top>
      <bottom style="medium">
        <color rgb="002E4053"/>
      </bottom>
    </border>
    <border>
      <left style="thin">
        <color rgb="00D5D8DC"/>
      </left>
      <right/>
      <top/>
      <bottom/>
      <diagonal/>
    </border>
    <border>
      <left style="thin">
        <color rgb="00D5D8DC"/>
      </left>
      <right style="thin">
        <color rgb="00D5D8DC"/>
      </right>
      <top/>
      <bottom/>
      <diagonal/>
    </border>
    <border>
      <left style="thin">
        <color rgb="00D5D8DC"/>
      </left>
      <right style="thin">
        <color rgb="00D5D8DC"/>
      </right>
      <top/>
      <bottom style="thin">
        <color rgb="00D5D8DC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6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  <xf numFmtId="0" fontId="12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10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center" vertical="top" wrapText="1"/>
    </xf>
    <xf numFmtId="0" fontId="0" fillId="0" borderId="5" pivotButton="0" quotePrefix="0" xfId="0"/>
    <xf numFmtId="0" fontId="11" fillId="9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center" vertical="top" wrapText="1"/>
    </xf>
    <xf numFmtId="0" fontId="13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8" customWidth="1" min="3" max="3"/>
    <col width="45" customWidth="1" min="4" max="4"/>
    <col width="18" customWidth="1" min="5" max="5"/>
    <col width="42" customWidth="1" min="6" max="6"/>
    <col width="15" customWidth="1" min="7" max="7"/>
  </cols>
  <sheetData>
    <row r="1" ht="28" customHeight="1">
      <c r="A1" s="1" t="inlineStr">
        <is>
          <t>HOLISTYCZNY PLAN TRENINGOWY FBW (2-DNIOWY) - VER. 5</t>
        </is>
      </c>
    </row>
    <row r="2" ht="20" customHeight="1">
      <c r="A2" s="2" t="inlineStr">
        <is>
          <t>Dedykowany program oporowo-fizjoterapeutyczny | Profil Podopiecznej: 25 lat, 59 kg, 169 cm</t>
        </is>
      </c>
    </row>
    <row r="4">
      <c r="A4" s="3" t="inlineStr">
        <is>
          <t>PROFIL PODOPIECZNEJ &amp; PARAMETRY</t>
        </is>
      </c>
    </row>
    <row r="5">
      <c r="A5" s="4" t="inlineStr">
        <is>
          <t>Wiek:</t>
        </is>
      </c>
      <c r="B5" s="5" t="inlineStr">
        <is>
          <t>25 lat</t>
        </is>
      </c>
      <c r="C5" s="4" t="inlineStr">
        <is>
          <t>Dostępność:</t>
        </is>
      </c>
      <c r="D5" s="5" t="inlineStr">
        <is>
          <t>2 dni w tygodniu (min. 48h przerwy)</t>
        </is>
      </c>
    </row>
    <row r="6">
      <c r="A6" s="6" t="inlineStr">
        <is>
          <t>Waga:</t>
        </is>
      </c>
      <c r="B6" s="7" t="inlineStr">
        <is>
          <t>59 kg</t>
        </is>
      </c>
      <c r="C6" s="6" t="inlineStr">
        <is>
          <t>Czas trwania:</t>
        </is>
      </c>
      <c r="D6" s="7" t="inlineStr">
        <is>
          <t>60 minut / sesja</t>
        </is>
      </c>
    </row>
    <row r="7">
      <c r="A7" s="4" t="inlineStr">
        <is>
          <t>Wzrost:</t>
        </is>
      </c>
      <c r="B7" s="5" t="inlineStr">
        <is>
          <t>169 cm</t>
        </is>
      </c>
      <c r="C7" s="4" t="inlineStr">
        <is>
          <t>Poziom zaawansowania:</t>
        </is>
      </c>
      <c r="D7" s="5" t="inlineStr">
        <is>
          <t>Początkujący / Średnioawansowany</t>
        </is>
      </c>
    </row>
    <row r="8">
      <c r="A8" s="6" t="inlineStr">
        <is>
          <t>Cel główny:</t>
        </is>
      </c>
      <c r="B8" s="7" t="inlineStr">
        <is>
          <t>Ujędrnienie, budowa siły, korekcja postawy</t>
        </is>
      </c>
      <c r="C8" s="6" t="inlineStr">
        <is>
          <t>Priorytet:</t>
        </is>
      </c>
      <c r="D8" s="7" t="inlineStr">
        <is>
          <t>Taśma tylna (pośladki, uda), core, mobilność</t>
        </is>
      </c>
    </row>
    <row r="10">
      <c r="A10" s="3" t="inlineStr">
        <is>
          <t>PROSTA ROZGRZEWKA OGÓLNA (OK. 5-7 MINUT)</t>
        </is>
      </c>
    </row>
    <row r="11">
      <c r="A11" s="8" t="inlineStr">
        <is>
          <t>Krok</t>
        </is>
      </c>
      <c r="B11" s="8" t="inlineStr">
        <is>
          <t>Element rozgrzewki</t>
        </is>
      </c>
      <c r="C11" s="8" t="inlineStr">
        <is>
          <t>Nazwa / Ćwiczenie</t>
        </is>
      </c>
      <c r="D11" s="8" t="inlineStr">
        <is>
          <t>Opis słowny (Na czym polega)</t>
        </is>
      </c>
      <c r="E11" s="8" t="inlineStr">
        <is>
          <t>Czas / Powtórzenia</t>
        </is>
      </c>
      <c r="F11" s="8" t="inlineStr">
        <is>
          <t>Cel i uwagi fizjoterapeutyczne</t>
        </is>
      </c>
    </row>
    <row r="12" ht="50" customHeight="1">
      <c r="A12" s="9" t="inlineStr">
        <is>
          <t>1</t>
        </is>
      </c>
      <c r="B12" s="10" t="inlineStr">
        <is>
          <t>Kardio / Podniesienie temp. ciała</t>
        </is>
      </c>
      <c r="C12" s="10" t="inlineStr">
        <is>
          <t>Bieg / Marsz pod górę na bieżni (lub Wioślarz)</t>
        </is>
      </c>
      <c r="D12" s="10" t="inlineStr">
        <is>
          <t>Marsz na bieżni z nachyleniem (3-5%) w tempie 4.5-5.5 km/h lub lekki trucht/praca na wioślarzu w umiarkowanym rytmie.</t>
        </is>
      </c>
      <c r="E12" s="9" t="inlineStr">
        <is>
          <t>3 - 5 minut</t>
        </is>
      </c>
      <c r="F12" s="10" t="inlineStr">
        <is>
          <t>Podniesienie temperatury ciała, zwiększenie tętna, pobudzenie krążenia oraz nawodnienie mazi stawowej przed obciążeniem.</t>
        </is>
      </c>
    </row>
    <row r="13" ht="50" customHeight="1">
      <c r="A13" s="11" t="inlineStr">
        <is>
          <t>2</t>
        </is>
      </c>
      <c r="B13" s="12" t="inlineStr">
        <is>
          <t>Mobilizacja stawów i wymachy</t>
        </is>
      </c>
      <c r="C13" s="12" t="inlineStr">
        <is>
          <t>Krążenia ramion, bioder i skręty tułowia</t>
        </is>
      </c>
      <c r="D13" s="12" t="inlineStr">
        <is>
          <t>Stoisz prosto. Wykonujesz obszerne krążenia ramion w przód i w tył (10x), obszerne krążenia bioder (10x w każdą stronę) oraz delikatne skręty tułowia z luźnymi ramionami.</t>
        </is>
      </c>
      <c r="E13" s="11" t="inlineStr">
        <is>
          <t>1.5 - 2 minuty
(po 10-12 powt.)</t>
        </is>
      </c>
      <c r="F13" s="12" t="inlineStr">
        <is>
          <t>Zwiększenie zakresu ruchu w stawach barkowych, biodrowych i kręgosłupie. Przygotowanie struktur do pracy w pełnym zakresie.</t>
        </is>
      </c>
    </row>
    <row r="14" ht="50" customHeight="1">
      <c r="A14" s="9" t="inlineStr">
        <is>
          <t>3</t>
        </is>
      </c>
      <c r="B14" s="10" t="inlineStr">
        <is>
          <t>Szybka aktywacja ogólna</t>
        </is>
      </c>
      <c r="C14" s="10" t="inlineStr">
        <is>
          <t>Pajacyki lub Przysiady bez obciążenia</t>
        </is>
      </c>
      <c r="D14" s="10" t="inlineStr">
        <is>
          <t>Wykonaj spokojne pajacyki (Jumping Jacks) lub 10-15 płynnych przysiadów z masą własnego ciała i uniesieniem rąk przed siebie.</t>
        </is>
      </c>
      <c r="E14" s="9" t="inlineStr">
        <is>
          <t>1 minuta
(15 powtórzeń)</t>
        </is>
      </c>
      <c r="F14" s="10" t="inlineStr">
        <is>
          <t>Ostateczne pobudzenie układu nerwowego i aktywacja dużych grup mięśniowych (uda, pośladki, ramiona) przed ciężarami.</t>
        </is>
      </c>
    </row>
    <row r="17">
      <c r="A17" s="3" t="inlineStr">
        <is>
          <t>JAK CZYTAĆ ZAPIS TEMPA RUCHU (NP. 3010 / 2011)?</t>
        </is>
      </c>
    </row>
    <row r="18" ht="20" customHeight="1">
      <c r="A18" s="13" t="inlineStr">
        <is>
          <t>1. Cyfra (np. 3 w 3010):</t>
        </is>
      </c>
      <c r="B18" s="14" t="inlineStr">
        <is>
          <t>Faza ekscentryczna (opuszczanie ciężaru / rozciąganie mięśnia w sekundach). Np. 3 sekundy schodzenia w dół w przysiadzie.</t>
        </is>
      </c>
    </row>
    <row r="19" ht="20" customHeight="1">
      <c r="A19" s="13" t="inlineStr">
        <is>
          <t>2. Cyfra (np. 0 w 3010):</t>
        </is>
      </c>
      <c r="B19" s="14" t="inlineStr">
        <is>
          <t>Pauza w pozycji maksymalnego rozciągnięcia mięśnia (np. na dole przysiadu). 0 oznacza brak pauzy.</t>
        </is>
      </c>
    </row>
    <row r="20" ht="20" customHeight="1">
      <c r="A20" s="13" t="inlineStr">
        <is>
          <t>3. Cyfra (np. 1 w 3010):</t>
        </is>
      </c>
      <c r="B20" s="14" t="inlineStr">
        <is>
          <t>Faza koncentryczna (podnoszenie ciężaru / skurcz mięśnia). Np. 1 sekunda dynamicznego wyjścia w górę.</t>
        </is>
      </c>
    </row>
    <row r="21" ht="20" customHeight="1">
      <c r="A21" s="13" t="inlineStr">
        <is>
          <t>4. Cyfra (np. 1 w 2011):</t>
        </is>
      </c>
      <c r="B21" s="14" t="inlineStr">
        <is>
          <t>Pauza w pozycji maksymalnego spięcia mięśnia (np. 1 sekunda utrzymania bioder w górze w Hip Thrust).</t>
        </is>
      </c>
    </row>
  </sheetData>
  <mergeCells count="9">
    <mergeCell ref="B19:G19"/>
    <mergeCell ref="B20:G20"/>
    <mergeCell ref="B21:G21"/>
    <mergeCell ref="A1:G1"/>
    <mergeCell ref="A17:G17"/>
    <mergeCell ref="A2:G2"/>
    <mergeCell ref="B18:G18"/>
    <mergeCell ref="A4:C4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22" customWidth="1" min="4" max="4"/>
    <col width="34" customWidth="1" min="5" max="5"/>
    <col width="40" customWidth="1" min="6" max="6"/>
    <col width="15" customWidth="1" min="7" max="7"/>
    <col width="15" customWidth="1" min="8" max="8"/>
    <col width="12" customWidth="1" min="9" max="9"/>
    <col width="18" customWidth="1" min="10" max="10"/>
    <col width="26" customWidth="1" min="11" max="11"/>
  </cols>
  <sheetData>
    <row r="1" ht="28" customHeight="1">
      <c r="A1" s="1" t="inlineStr">
        <is>
          <t>PLAN TRENINGOWY: TRENING A (FBW A)</t>
        </is>
      </c>
    </row>
    <row r="2" ht="20" customHeight="1">
      <c r="A2" s="2" t="inlineStr">
        <is>
          <t>Optymalny bodziec hipertroficzny i siłowy z naciskiem na Hip Thrust i Goblet Squat</t>
        </is>
      </c>
    </row>
    <row r="4" ht="28" customHeight="1">
      <c r="A4" s="8" t="inlineStr">
        <is>
          <t>Lp.</t>
        </is>
      </c>
      <c r="B4" s="8" t="inlineStr">
        <is>
          <t>Wariant</t>
        </is>
      </c>
      <c r="C4" s="8" t="inlineStr">
        <is>
          <t>Nazwa Ćwiczenia</t>
        </is>
      </c>
      <c r="D4" s="8" t="inlineStr">
        <is>
          <t>Główne Partie</t>
        </is>
      </c>
      <c r="E4" s="8" t="inlineStr">
        <is>
          <t>Opis Słowny Ćwiczenia (Na czym polega)</t>
        </is>
      </c>
      <c r="F4" s="8" t="inlineStr">
        <is>
          <t>Szczegółowa Technika &amp; Uwagi Fizjoterapeutyczne (Na co uważać)</t>
        </is>
      </c>
      <c r="G4" s="8" t="inlineStr">
        <is>
          <t>Tempo</t>
        </is>
      </c>
      <c r="H4" s="8" t="inlineStr">
        <is>
          <t>Czas Odpoczynku</t>
        </is>
      </c>
      <c r="I4" s="8" t="inlineStr">
        <is>
          <t>Serie x Powt.</t>
        </is>
      </c>
      <c r="J4" s="8" t="inlineStr">
        <is>
          <t>Ciężar Startowy</t>
        </is>
      </c>
      <c r="K4" s="8" t="inlineStr">
        <is>
          <t>Wideo Instruktażowe (YouTube)</t>
        </is>
      </c>
    </row>
    <row r="5" ht="100" customHeight="1">
      <c r="A5" s="15" t="n">
        <v>1</v>
      </c>
      <c r="B5" s="16" t="inlineStr">
        <is>
          <t>GŁÓWNE</t>
        </is>
      </c>
      <c r="C5" s="17" t="inlineStr">
        <is>
          <t>Hip Thrust ze sztangą</t>
        </is>
      </c>
      <c r="D5" s="18" t="inlineStr">
        <is>
          <t>Mięsień pośladkowy wielki, mięśnie dwugłowe uda</t>
        </is>
      </c>
      <c r="E5" s="19" t="inlineStr">
        <is>
          <t>Unoszenie bioder w górę w leżeniu tyłem z łopatkami opartymi o ławkę i sztangą spoczywającą w załamaniu biodrowym. Ruch zachodzi w stawie biodrowym i aktywuje prostowniki biodra.</t>
        </is>
      </c>
      <c r="F5" s="19" t="inlineStr">
        <is>
          <t>• Oprzyj dolną krawędź łopatek o ławkę.
• Użyj grubej gąbki na gryf!
• Wypychaj biodra z pięt.
• W górnym punkcie podwiń kość ogonową (tyłopochylenie miednicy) i spnij pośladki przez 1s.
• UWAGA: Unikaj wyginania lędźwi w łuk!</t>
        </is>
      </c>
      <c r="G5" s="20" t="inlineStr">
        <is>
          <t>2011
(2s dół, 1s spięcie)</t>
        </is>
      </c>
      <c r="H5" s="20" t="inlineStr">
        <is>
          <t>90 - 120 sek.</t>
        </is>
      </c>
      <c r="I5" s="20" t="inlineStr">
        <is>
          <t>3 - 4 x 8 - 10</t>
        </is>
      </c>
      <c r="J5" s="21" t="inlineStr">
        <is>
          <t>30 kg (Gryf + 2x5kg)</t>
        </is>
      </c>
      <c r="K5" s="22">
        <f>HYPERLINK("https://www.youtube.com/results?search_query=Hip+Thrust+ze+sztanga+technika", "▶ Oglądaj na YouTube")</f>
        <v/>
      </c>
    </row>
    <row r="6" ht="100" customHeight="1">
      <c r="A6" s="23" t="n"/>
      <c r="B6" s="24" t="inlineStr">
        <is>
          <t>ALTERNATYWA 1</t>
        </is>
      </c>
      <c r="C6" s="25" t="inlineStr">
        <is>
          <t>Glute Bridge z hantlem na ziemi</t>
        </is>
      </c>
      <c r="D6" s="26" t="inlineStr">
        <is>
          <t>Mięsień pośladkowy wielki, mięśnie dwugłowe uda</t>
        </is>
      </c>
      <c r="E6" s="27" t="inlineStr">
        <is>
          <t>Leżenie na plecach ze stopami na podłożu i hantlem ułożonym stabilnie na biodrach. Unoszenie bioder w górę do linii prostej z udami i tułowiem.</t>
        </is>
      </c>
      <c r="F6" s="27" t="inlineStr">
        <is>
          <t>• Świetna opcja, gdy ławka i sztanga są zajęte.
• Dociśnij pięty do ziemi i zepnij pośladki na górze na 1 sek.
• Nie odrywaj górnych pleców od podłoża.</t>
        </is>
      </c>
      <c r="G6" s="28" t="inlineStr">
        <is>
          <t>2011
(2s dół, 1s spięcie)</t>
        </is>
      </c>
      <c r="H6" s="28" t="inlineStr">
        <is>
          <t>90 sek.</t>
        </is>
      </c>
      <c r="I6" s="28" t="inlineStr">
        <is>
          <t>3 - 4 x 10 - 12</t>
        </is>
      </c>
      <c r="J6" s="29" t="inlineStr">
        <is>
          <t>12 - 16 kg (hantel)</t>
        </is>
      </c>
      <c r="K6" s="30">
        <f>HYPERLINK("https://www.youtube.com/results?search_query=Glute+Bridge+z+hantlem+technika", "▶ Oglądaj na YouTube")</f>
        <v/>
      </c>
    </row>
    <row r="7" ht="100" customHeight="1">
      <c r="A7" s="31" t="n"/>
      <c r="B7" s="32" t="inlineStr">
        <is>
          <t>ALTERNATYWA 2</t>
        </is>
      </c>
      <c r="C7" s="33" t="inlineStr">
        <is>
          <t>Cable Pull-Through (Przyciąganie liny wyciągu zza nóg)</t>
        </is>
      </c>
      <c r="D7" s="34" t="inlineStr">
        <is>
          <t>Mięsień pośladkowy wielki, dwugłowe uda</t>
        </is>
      </c>
      <c r="E7" s="35" t="inlineStr">
        <is>
          <t>Stoisz tyłem do wyciągu dolnego, chwytając linę między nogami. Wykonujesz wypchnięcie bioder w przód ze spięciem pośladków, zginając się w biodrze w fazie opuszczania.</t>
        </is>
      </c>
      <c r="F7" s="35" t="inlineStr">
        <is>
          <t>• Idealne zastępstwo bez obciążania kręgosłupa.
• Ruch hip hinge (cofaj biodra w tył).
• Mocny skurcz pośladka w pozycji stojącej na górze.</t>
        </is>
      </c>
      <c r="G7" s="36" t="inlineStr">
        <is>
          <t>2011
(2s dół, 1s spięcie)</t>
        </is>
      </c>
      <c r="H7" s="36" t="inlineStr">
        <is>
          <t>90 sek.</t>
        </is>
      </c>
      <c r="I7" s="36" t="inlineStr">
        <is>
          <t>3 - 4 x 10 - 12</t>
        </is>
      </c>
      <c r="J7" s="37" t="inlineStr">
        <is>
          <t>15 - 20 kg na wyciągu</t>
        </is>
      </c>
      <c r="K7" s="38">
        <f>HYPERLINK("https://www.youtube.com/results?search_query=Cable+Pull+Through+technika", "▶ Oglądaj na YouTube")</f>
        <v/>
      </c>
    </row>
    <row r="8" ht="100" customHeight="1">
      <c r="A8" s="15" t="n">
        <v>2</v>
      </c>
      <c r="B8" s="16" t="inlineStr">
        <is>
          <t>GŁÓWNE</t>
        </is>
      </c>
      <c r="C8" s="17" t="inlineStr">
        <is>
          <t>Goblet Squat (Przysiad z hantlem)</t>
        </is>
      </c>
      <c r="D8" s="18" t="inlineStr">
        <is>
          <t>Mięśnie czworogłowe uda, pośladkowe, core</t>
        </is>
      </c>
      <c r="E8" s="19" t="inlineStr">
        <is>
          <t>Przysiad ze stóp rozstawionych lekko szerzej niż biodra, z ciężarem (hantlem) trzymanym pionowo przy samej klatce piersiowej. Schodzimy biodrami nisko między kolana.</t>
        </is>
      </c>
      <c r="F8" s="19" t="inlineStr">
        <is>
          <t>• Stopy na szerokość bioder, palce lekko na zewnątrz.
• Trzymaj hantel pionowo przy klatce.
• UWAGA KOŚLAWIENIE: Prowadź kolana na zewnątrz w linii 2-3 palca stopy!
• Schodź głęboko z zachowaniem prostej postawy.</t>
        </is>
      </c>
      <c r="G8" s="20" t="inlineStr">
        <is>
          <t>3010
(3s dół, 1s góra)</t>
        </is>
      </c>
      <c r="H8" s="20" t="inlineStr">
        <is>
          <t>90 sek.</t>
        </is>
      </c>
      <c r="I8" s="20" t="inlineStr">
        <is>
          <t>3 x 10 - 12</t>
        </is>
      </c>
      <c r="J8" s="21" t="inlineStr">
        <is>
          <t>8 - 10 kg</t>
        </is>
      </c>
      <c r="K8" s="22">
        <f>HYPERLINK("https://www.youtube.com/results?search_query=Goblet+Squat+technika", "▶ Oglądaj na YouTube")</f>
        <v/>
      </c>
    </row>
    <row r="9" ht="100" customHeight="1">
      <c r="A9" s="23" t="n"/>
      <c r="B9" s="24" t="inlineStr">
        <is>
          <t>ALTERNATYWA 1</t>
        </is>
      </c>
      <c r="C9" s="25" t="inlineStr">
        <is>
          <t>Przysiad na suwnicy Smitha</t>
        </is>
      </c>
      <c r="D9" s="26" t="inlineStr">
        <is>
          <t>Mięśnie czworogłowe uda, pośladkowe, stabilizacja</t>
        </is>
      </c>
      <c r="E9" s="27" t="inlineStr">
        <is>
          <t>Przysiad ze sztangą prowadzoną na szynach suwnicy Smitha. Stopy wysunięte delikatnie do przodu przed linię gryfu, co odciąża kręgosłup i zwiększa pracę nóg.</t>
        </is>
      </c>
      <c r="F9" s="27" t="inlineStr">
        <is>
          <t>• Bezpieczny wariant przy braku wolnych hantli.
• Utrzymuj całe stopy na ziemi.
• Schodź biodrami do kąta 90° w kolanach, zachowując proste plecy.</t>
        </is>
      </c>
      <c r="G9" s="28" t="inlineStr">
        <is>
          <t>3010
(3s dół, 1s góra)</t>
        </is>
      </c>
      <c r="H9" s="28" t="inlineStr">
        <is>
          <t>90 sek.</t>
        </is>
      </c>
      <c r="I9" s="28" t="inlineStr">
        <is>
          <t>3 x 10 - 12</t>
        </is>
      </c>
      <c r="J9" s="29" t="inlineStr">
        <is>
          <t>Gryf + 5-10 kg</t>
        </is>
      </c>
      <c r="K9" s="30">
        <f>HYPERLINK("https://www.youtube.com/results?search_query=Przysiad+na+suwnicy+Smitha+technika", "▶ Oglądaj na YouTube")</f>
        <v/>
      </c>
    </row>
    <row r="10" ht="100" customHeight="1">
      <c r="A10" s="31" t="n"/>
      <c r="B10" s="32" t="inlineStr">
        <is>
          <t>ALTERNATYWA 2</t>
        </is>
      </c>
      <c r="C10" s="33" t="inlineStr">
        <is>
          <t>Leg Press (Wypychanie ciężaru na suwnicy)</t>
        </is>
      </c>
      <c r="D10" s="34" t="inlineStr">
        <is>
          <t>Mięśnie czworogłowe uda, pośladkowe</t>
        </is>
      </c>
      <c r="E10" s="35" t="inlineStr">
        <is>
          <t>Wypychanie platformy nogami w pozycji siedzącej/półleżącej na maszynie Leg Press. Stopy ustawione pośrodku platformy na szerokość bioder.</t>
        </is>
      </c>
      <c r="F10" s="35" t="inlineStr">
        <is>
          <t>• Ustaw stopy stabilnie na platformie.
• UWAGA: Nie prostuj kolan do pełnego przeprostu (zostaw lekki mikrogłęboki kąt na górze).
• Nie odrywaj miednicy od oparcia maszyny!</t>
        </is>
      </c>
      <c r="G10" s="36" t="inlineStr">
        <is>
          <t>3010
(3s dół, 1s wypchnięcie)</t>
        </is>
      </c>
      <c r="H10" s="36" t="inlineStr">
        <is>
          <t>90 sek.</t>
        </is>
      </c>
      <c r="I10" s="36" t="inlineStr">
        <is>
          <t>3 x 10 - 12</t>
        </is>
      </c>
      <c r="J10" s="37" t="inlineStr">
        <is>
          <t>30 - 40 kg</t>
        </is>
      </c>
      <c r="K10" s="38">
        <f>HYPERLINK("https://www.youtube.com/results?search_query=Leg+Press+suwnica+technika", "▶ Oglądaj na YouTube")</f>
        <v/>
      </c>
    </row>
    <row r="11" ht="100" customHeight="1">
      <c r="A11" s="15" t="n">
        <v>3</v>
      </c>
      <c r="B11" s="16" t="inlineStr">
        <is>
          <t>GŁÓWNE</t>
        </is>
      </c>
      <c r="C11" s="17" t="inlineStr">
        <is>
          <t>Ściąganie drążka wyciągu do klatki</t>
        </is>
      </c>
      <c r="D11" s="18" t="inlineStr">
        <is>
          <t>Mięsień najszerszy grzbietu, retraktory łopatek</t>
        </is>
      </c>
      <c r="E11" s="19" t="inlineStr">
        <is>
          <t>Ściąganie drążka podwieszonego na wyciągu górnym pionowo w dół w stronę obojczyków w pozycji siedzącej, co angażuje mięśnie grzbietu odpowiedzialne za szerokość i postawę.</t>
        </is>
      </c>
      <c r="F11" s="19" t="inlineStr">
        <is>
          <t>• Chwyt nachwytem lekko szerzej niż barki.
• Najpierw opuść i ściągnij łopatki, a potem ciągnij drążek łokciami do klatki.
• 'Dumna klatka', nie bujaj tułowiem w tył.</t>
        </is>
      </c>
      <c r="G11" s="20" t="inlineStr">
        <is>
          <t>3011
(3s powrót, 1s spięcie)</t>
        </is>
      </c>
      <c r="H11" s="20" t="inlineStr">
        <is>
          <t>60 - 90 sek.</t>
        </is>
      </c>
      <c r="I11" s="20" t="inlineStr">
        <is>
          <t>3 x 10 - 12</t>
        </is>
      </c>
      <c r="J11" s="21" t="inlineStr">
        <is>
          <t>20 - 25 kg</t>
        </is>
      </c>
      <c r="K11" s="22">
        <f>HYPERLINK("https://www.youtube.com/results?search_query=Sciaganie+drazka+wyciagu+gornego+do+klatki+technika", "▶ Oglądaj na YouTube")</f>
        <v/>
      </c>
    </row>
    <row r="12" ht="100" customHeight="1">
      <c r="A12" s="23" t="n"/>
      <c r="B12" s="24" t="inlineStr">
        <is>
          <t>ALTERNATYWA 1</t>
        </is>
      </c>
      <c r="C12" s="25" t="inlineStr">
        <is>
          <t>Podciąganie na maszynie z asystą (Gravitron)</t>
        </is>
      </c>
      <c r="D12" s="26" t="inlineStr">
        <is>
          <t>Mięsień najszerszy grzbietu, czworoboczny, ramienny</t>
        </is>
      </c>
      <c r="E12" s="27" t="inlineStr">
        <is>
          <t>Podciąganie na drążku w klęku na poduszce maszyny, która przeciwwagą wspomaga podnoszenie ciała.</t>
        </is>
      </c>
      <c r="F12" s="27" t="inlineStr">
        <is>
          <t>• Im większa przeciwwaga na maszynie, tym łatwiejszy ruch.
• Skup się na pełnym wyproście ramion na dole i mocnym dociągnięciu klatki do drążka ze ściągnięciem łopatek.</t>
        </is>
      </c>
      <c r="G12" s="28" t="inlineStr">
        <is>
          <t>3011
(3s opuszczanie, 1s spięcie)</t>
        </is>
      </c>
      <c r="H12" s="28" t="inlineStr">
        <is>
          <t>60 - 90 sek.</t>
        </is>
      </c>
      <c r="I12" s="28" t="inlineStr">
        <is>
          <t>3 x 10 - 12</t>
        </is>
      </c>
      <c r="J12" s="29" t="inlineStr">
        <is>
          <t>Asysta ok. 30-35 kg</t>
        </is>
      </c>
      <c r="K12" s="30">
        <f>HYPERLINK("https://www.youtube.com/results?search_query=Podciaganie+na+maszynie+z+asysta+technika", "▶ Oglądaj na YouTube")</f>
        <v/>
      </c>
    </row>
    <row r="13" ht="100" customHeight="1">
      <c r="A13" s="31" t="n"/>
      <c r="B13" s="32" t="inlineStr">
        <is>
          <t>ALTERNATYWA 2</t>
        </is>
      </c>
      <c r="C13" s="33" t="inlineStr">
        <is>
          <t>Ściąganie uchwytu neutralnego (V-Bar) do klatki</t>
        </is>
      </c>
      <c r="D13" s="34" t="inlineStr">
        <is>
          <t>Najszerszy grzbietu, obły większy, biceps</t>
        </is>
      </c>
      <c r="E13" s="35" t="inlineStr">
        <is>
          <t>Ściąganie wąskiego uchwytu neutralnego (dłonie skierowane do siebie) wyciągu górnego do klatki piersiowej.</t>
        </is>
      </c>
      <c r="F13" s="35" t="inlineStr">
        <is>
          <t>• Neutralny chwyt oszczędza stawy nadgarstkowe i barki.
• Prowadź łokcie blisko tułowia w dół.
• Mocne spięcie grzbietu w dolnym punkcie ruchu.</t>
        </is>
      </c>
      <c r="G13" s="36" t="inlineStr">
        <is>
          <t>3011
(3s powrót, 1s spięcie)</t>
        </is>
      </c>
      <c r="H13" s="36" t="inlineStr">
        <is>
          <t>60 - 90 sek.</t>
        </is>
      </c>
      <c r="I13" s="36" t="inlineStr">
        <is>
          <t>3 x 10 - 12</t>
        </is>
      </c>
      <c r="J13" s="37" t="inlineStr">
        <is>
          <t>20 - 25 kg</t>
        </is>
      </c>
      <c r="K13" s="38">
        <f>HYPERLINK("https://www.youtube.com/results?search_query=Sciaganie+uchwytu+V-Bar+wyciag+gorny+technika", "▶ Oglądaj na YouTube")</f>
        <v/>
      </c>
    </row>
    <row r="14" ht="100" customHeight="1">
      <c r="A14" s="15" t="n">
        <v>4</v>
      </c>
      <c r="B14" s="16" t="inlineStr">
        <is>
          <t>GŁÓWNE</t>
        </is>
      </c>
      <c r="C14" s="17" t="inlineStr">
        <is>
          <t>Wyciskanie hantli na ławce skośnej (30°)</t>
        </is>
      </c>
      <c r="D14" s="18" t="inlineStr">
        <is>
          <t>Klatka piersiowa, przedni akton naramiennego, triceps</t>
        </is>
      </c>
      <c r="E14" s="19" t="inlineStr">
        <is>
          <t>Wyciskanie dwóch hantli w leżeniu na ławce ustawionej pod lekkim kątem dodatnim (ok. 30°). Ruch polega na opuszczaniu hantli na wysokość klatki i wypychaniu ich pionowo w górę.</t>
        </is>
      </c>
      <c r="F14" s="19" t="inlineStr">
        <is>
          <t>• Łopatki ściągnięte i przyklejone do ławki.
• Łokcie pod kątem 45-60° od tułowia.
• Wolne opuszczanie (3 sekundy), nie zderzaj hantli na górze.</t>
        </is>
      </c>
      <c r="G14" s="20" t="inlineStr">
        <is>
          <t>3010
(3s dół, 1s wyciśnięcie)</t>
        </is>
      </c>
      <c r="H14" s="20" t="inlineStr">
        <is>
          <t>60 - 90 sek.</t>
        </is>
      </c>
      <c r="I14" s="20" t="inlineStr">
        <is>
          <t>3 x 10 - 12</t>
        </is>
      </c>
      <c r="J14" s="21" t="inlineStr">
        <is>
          <t>2x 6 kg</t>
        </is>
      </c>
      <c r="K14" s="22">
        <f>HYPERLINK("https://www.youtube.com/results?search_query=Wyciskanie+hantli+na+lawce+skosnej+technika", "▶ Oglądaj na YouTube")</f>
        <v/>
      </c>
    </row>
    <row r="15" ht="100" customHeight="1">
      <c r="A15" s="23" t="n"/>
      <c r="B15" s="24" t="inlineStr">
        <is>
          <t>ALTERNATYWA 1</t>
        </is>
      </c>
      <c r="C15" s="25" t="inlineStr">
        <is>
          <t>Pompki klasyczne z dłońmi na podwyższeniu</t>
        </is>
      </c>
      <c r="D15" s="26" t="inlineStr">
        <is>
          <t>Klatka piersiowa, mięśnie naramienne, triceps, core</t>
        </is>
      </c>
      <c r="E15" s="27" t="inlineStr">
        <is>
          <t>Pompka wykonywana z dłońmi opartymi o krawędź ławki treningowej lub stabilnej skrzyni, co ułatwia ruch i pozwala opanować poprawny wzorzec wyciskania z masą własnego ciała.</t>
        </is>
      </c>
      <c r="F15" s="27" t="inlineStr">
        <is>
          <t>• Całe ciało w jednej linii (spięty brzuch i pośladki).
• Schodź klatką piersiową do samej ławki.
• Nie zadzieraj głowy i nie pozwól na opadanie bioder.</t>
        </is>
      </c>
      <c r="G15" s="28" t="inlineStr">
        <is>
          <t>3010
(3s dół, 1s wypchnięcie)</t>
        </is>
      </c>
      <c r="H15" s="28" t="inlineStr">
        <is>
          <t>60 - 90 sek.</t>
        </is>
      </c>
      <c r="I15" s="28" t="inlineStr">
        <is>
          <t>3 x 8 - 10</t>
        </is>
      </c>
      <c r="J15" s="29" t="inlineStr">
        <is>
          <t>Masa ciała (skos +)</t>
        </is>
      </c>
      <c r="K15" s="30">
        <f>HYPERLINK("https://www.youtube.com/results?search_query=Pompki+na+podwyzszeniu+lawce+technika", "▶ Oglądaj na YouTube")</f>
        <v/>
      </c>
    </row>
    <row r="16" ht="100" customHeight="1">
      <c r="A16" s="31" t="n"/>
      <c r="B16" s="32" t="inlineStr">
        <is>
          <t>ALTERNATYWA 2</t>
        </is>
      </c>
      <c r="C16" s="33" t="inlineStr">
        <is>
          <t>Wyciskanie na maszynie siedząc (Chest Press)</t>
        </is>
      </c>
      <c r="D16" s="34" t="inlineStr">
        <is>
          <t>Klatka piersiowa, przedni akton barku, triceps</t>
        </is>
      </c>
      <c r="E16" s="35" t="inlineStr">
        <is>
          <t>Wypychanie uchwytów maszyny do wyciskania w pozycji siedzącej z oparciem pleców o fotel. Stos zapewnia bezpieczny tor ruchu.</t>
        </is>
      </c>
      <c r="F16" s="35" t="inlineStr">
        <is>
          <t>• Ustaw wysokość siedziska tak, aby uchwyty były na wysokości środka klatki.
• Ściągnij łopatki i dociskaj plecy do oparcia przez cały ruch.</t>
        </is>
      </c>
      <c r="G16" s="36" t="inlineStr">
        <is>
          <t>3010
(3s powrót, 1s wypchnięcie)</t>
        </is>
      </c>
      <c r="H16" s="36" t="inlineStr">
        <is>
          <t>60 - 90 sek.</t>
        </is>
      </c>
      <c r="I16" s="36" t="inlineStr">
        <is>
          <t>3 x 10 - 12</t>
        </is>
      </c>
      <c r="J16" s="37" t="inlineStr">
        <is>
          <t>15 - 20 kg na stosie</t>
        </is>
      </c>
      <c r="K16" s="38">
        <f>HYPERLINK("https://www.youtube.com/results?search_query=Wyciskanie+na+maszynie+Chest+Press+technika", "▶ Oglądaj na YouTube")</f>
        <v/>
      </c>
    </row>
    <row r="17" ht="100" customHeight="1">
      <c r="A17" s="15" t="n">
        <v>5</v>
      </c>
      <c r="B17" s="16" t="inlineStr">
        <is>
          <t>GŁÓWNE</t>
        </is>
      </c>
      <c r="C17" s="17" t="inlineStr">
        <is>
          <t>Pallof Press z gumą lub wyciągiem</t>
        </is>
      </c>
      <c r="D17" s="18" t="inlineStr">
        <is>
          <t>Core (brzuch) – m. skośne i poprzeczny (antyrotacja)</t>
        </is>
      </c>
      <c r="E17" s="19" t="inlineStr">
        <is>
          <t>Statyczno-dynamiczne ćwiczenie na mięśnie głębokie brzucha. Stojąc bokiem do wyciągu, wypychamy ramiona z uchwytem przed klatkę piersiową i wracamy, opierając się sile skręcającej tułów.</t>
        </is>
      </c>
      <c r="F17" s="19" t="inlineStr">
        <is>
          <t>• Stopy na szerokość bioder.
• UWAGA: Absolutna blokada rotacji – tułów i miednica pozostają skierowane na wprost bez skrętu!</t>
        </is>
      </c>
      <c r="G17" s="20" t="inlineStr">
        <is>
          <t>2121
(2s wyjście, 1s pauza)</t>
        </is>
      </c>
      <c r="H17" s="20" t="inlineStr">
        <is>
          <t>45 - 60 sek.</t>
        </is>
      </c>
      <c r="I17" s="20" t="inlineStr">
        <is>
          <t>3 x 10-12 / stronę</t>
        </is>
      </c>
      <c r="J17" s="21" t="inlineStr">
        <is>
          <t>5 kg / lekka guma</t>
        </is>
      </c>
      <c r="K17" s="22">
        <f>HYPERLINK("https://www.youtube.com/results?search_query=Pallof+Press+technika", "▶ Oglądaj na YouTube")</f>
        <v/>
      </c>
    </row>
    <row r="18" ht="100" customHeight="1">
      <c r="A18" s="23" t="n"/>
      <c r="B18" s="24" t="inlineStr">
        <is>
          <t>ALTERNATYWA 1</t>
        </is>
      </c>
      <c r="C18" s="25" t="inlineStr">
        <is>
          <t>Side Plank (Deska bokiem) z unoszeniem bioder</t>
        </is>
      </c>
      <c r="D18" s="26" t="inlineStr">
        <is>
          <t>Mięśnie skośne brzucha, mięsień pośladkowy średni</t>
        </is>
      </c>
      <c r="E18" s="27" t="inlineStr">
        <is>
          <t>Podpór bokiem na przedramieniu (łokieć pod barkiem). Ciało w prostej linii. Wykonujemy kontrolowane obniżenie biodra w stronę ziemi i uniesienie go w górę.</t>
        </is>
      </c>
      <c r="F18" s="27" t="inlineStr">
        <is>
          <t>• Nie skręcaj klatki piersiowej w dół.
• Trzymaj miednicę i klatkę prostopadle do podłoża.
• Głowa w przedłużeniu kręgosłupa.</t>
        </is>
      </c>
      <c r="G18" s="28" t="inlineStr">
        <is>
          <t>2011
(2s dół, 1s uniesienie)</t>
        </is>
      </c>
      <c r="H18" s="28" t="inlineStr">
        <is>
          <t>45 - 60 sek.</t>
        </is>
      </c>
      <c r="I18" s="28" t="inlineStr">
        <is>
          <t>3 x 10-12 / stronę</t>
        </is>
      </c>
      <c r="J18" s="29" t="inlineStr">
        <is>
          <t>Masa własnego ciała</t>
        </is>
      </c>
      <c r="K18" s="30">
        <f>HYPERLINK("https://www.youtube.com/results?search_query=Side+Plank+z+unoszeniem+bioder+technika", "▶ Oglądaj na YouTube")</f>
        <v/>
      </c>
    </row>
    <row r="19" ht="100" customHeight="1">
      <c r="A19" s="31" t="n"/>
      <c r="B19" s="32" t="inlineStr">
        <is>
          <t>ALTERNATYWA 2</t>
        </is>
      </c>
      <c r="C19" s="33" t="inlineStr">
        <is>
          <t>Deadbug (Martwy robak) z pauzą</t>
        </is>
      </c>
      <c r="D19" s="34" t="inlineStr">
        <is>
          <t>Mięsień poprzeczny brzucha, prosty brzucha, stabilizacja</t>
        </is>
      </c>
      <c r="E19" s="35" t="inlineStr">
        <is>
          <t>Leżenie na plecach, ręce pionowo w górę, kolana ugięte pod kątem 90°. Naprzemiennie opuszczasz przeciwległą rękę i nogę tuż nad podłogę z zachowaniem docisku lędźwi.</t>
        </is>
      </c>
      <c r="F19" s="35" t="inlineStr">
        <is>
          <t>• KLUCZ: Dolne plecy (odcinek lędźwiowy) musisz nieustannie wciskać w podłogę!
• Wydech przy opuszczaniu kończyn.
• Doskonałe ćwiczenie na głęboką stabilizację.</t>
        </is>
      </c>
      <c r="G19" s="36" t="inlineStr">
        <is>
          <t>2120
(2s opuszczanie, 1s pauza)</t>
        </is>
      </c>
      <c r="H19" s="36" t="inlineStr">
        <is>
          <t>45 - 60 sek.</t>
        </is>
      </c>
      <c r="I19" s="36" t="inlineStr">
        <is>
          <t>3 x 10-12 / stronę</t>
        </is>
      </c>
      <c r="J19" s="37" t="inlineStr">
        <is>
          <t>Masa własnego ciała</t>
        </is>
      </c>
      <c r="K19" s="38">
        <f>HYPERLINK("https://www.youtube.com/results?search_query=Deadbug+martwy+robak+technika", "▶ Oglądaj na YouTube")</f>
        <v/>
      </c>
    </row>
    <row r="21">
      <c r="A21" s="39" t="inlineStr">
        <is>
          <t>💡 Wskazówka Trenera: Kliknij przycisk '▶ Oglądaj na YouTube' w ostatniej kolumnie przy wybranym ćwiczeniu, aby natychmiast otworzyć dokładny wideo-instruktaż techniczny!</t>
        </is>
      </c>
    </row>
    <row r="22"/>
  </sheetData>
  <mergeCells count="8">
    <mergeCell ref="A8:A10"/>
    <mergeCell ref="A17:A19"/>
    <mergeCell ref="A2:K2"/>
    <mergeCell ref="A11:A13"/>
    <mergeCell ref="A5:A7"/>
    <mergeCell ref="A14:A16"/>
    <mergeCell ref="A1:K1"/>
    <mergeCell ref="A21:K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22" customWidth="1" min="4" max="4"/>
    <col width="34" customWidth="1" min="5" max="5"/>
    <col width="40" customWidth="1" min="6" max="6"/>
    <col width="15" customWidth="1" min="7" max="7"/>
    <col width="15" customWidth="1" min="8" max="8"/>
    <col width="12" customWidth="1" min="9" max="9"/>
    <col width="18" customWidth="1" min="10" max="10"/>
    <col width="26" customWidth="1" min="11" max="11"/>
  </cols>
  <sheetData>
    <row r="1" ht="28" customHeight="1">
      <c r="A1" s="1" t="inlineStr">
        <is>
          <t>PLAN TRENINGOWY: TRENING B (FBW B)</t>
        </is>
      </c>
    </row>
    <row r="2" ht="20" customHeight="1">
      <c r="A2" s="2" t="inlineStr">
        <is>
          <t>Optymalny bodziec z naciskiem na RDL (taśma tylna), zakroki oraz korekcję postawy</t>
        </is>
      </c>
    </row>
    <row r="4" ht="28" customHeight="1">
      <c r="A4" s="8" t="inlineStr">
        <is>
          <t>Lp.</t>
        </is>
      </c>
      <c r="B4" s="8" t="inlineStr">
        <is>
          <t>Wariant</t>
        </is>
      </c>
      <c r="C4" s="8" t="inlineStr">
        <is>
          <t>Nazwa Ćwiczenia</t>
        </is>
      </c>
      <c r="D4" s="8" t="inlineStr">
        <is>
          <t>Główne Partie</t>
        </is>
      </c>
      <c r="E4" s="8" t="inlineStr">
        <is>
          <t>Opis Słowny Ćwiczenia (Na czym polega)</t>
        </is>
      </c>
      <c r="F4" s="8" t="inlineStr">
        <is>
          <t>Szczegółowa Technika &amp; Uwagi Fizjoterapeutyczne (Na co uważać)</t>
        </is>
      </c>
      <c r="G4" s="8" t="inlineStr">
        <is>
          <t>Tempo</t>
        </is>
      </c>
      <c r="H4" s="8" t="inlineStr">
        <is>
          <t>Czas Odpoczynku</t>
        </is>
      </c>
      <c r="I4" s="8" t="inlineStr">
        <is>
          <t>Serie x Powt.</t>
        </is>
      </c>
      <c r="J4" s="8" t="inlineStr">
        <is>
          <t>Ciężar Startowy</t>
        </is>
      </c>
      <c r="K4" s="8" t="inlineStr">
        <is>
          <t>Wideo Instruktażowe (YouTube)</t>
        </is>
      </c>
    </row>
    <row r="5" ht="100" customHeight="1">
      <c r="A5" s="15" t="n">
        <v>1</v>
      </c>
      <c r="B5" s="16" t="inlineStr">
        <is>
          <t>GŁÓWNE</t>
        </is>
      </c>
      <c r="C5" s="17" t="inlineStr">
        <is>
          <t>RDL – Rumuński Martwy Ciąg ze sztangą</t>
        </is>
      </c>
      <c r="D5" s="18" t="inlineStr">
        <is>
          <t>Taśma tylna: dwugłowe uda, pośladki, prostowniki</t>
        </is>
      </c>
      <c r="E5" s="19" t="inlineStr">
        <is>
          <t>Ruch oparty na zawiasie biodrowym (hip hinge). Polega na wycofaniu bioder daleko w tył i opuszczaniu ciężaru trzymanego blisko nóg do poziomu poniżej kolan z zachowaniem prostego kręgosłupa.</t>
        </is>
      </c>
      <c r="F5" s="19" t="inlineStr">
        <is>
          <t>• KLUCZ: Ruch zachodzi w biodrze, a nie w kolanach!
• Kolana lekko ugięte pod stałym kątem. Sztanga prowadzona tuż przy piszczelach.
• UWAGA: Zakaz zaokrąglania lędźwi! Na górze zepnij pośladki.</t>
        </is>
      </c>
      <c r="G5" s="20" t="inlineStr">
        <is>
          <t>3011
(3s dół, 1s spięcie)</t>
        </is>
      </c>
      <c r="H5" s="20" t="inlineStr">
        <is>
          <t>90 - 120 sek.</t>
        </is>
      </c>
      <c r="I5" s="20" t="inlineStr">
        <is>
          <t>3 x 8 - 10</t>
        </is>
      </c>
      <c r="J5" s="21" t="inlineStr">
        <is>
          <t>25 - 30 kg (sztanga)</t>
        </is>
      </c>
      <c r="K5" s="22">
        <f>HYPERLINK("https://www.youtube.com/results?search_query=Rumunski+martwy+ciag+RDL+ze+sztanga+technika", "▶ Oglądaj na YouTube")</f>
        <v/>
      </c>
    </row>
    <row r="6" ht="100" customHeight="1">
      <c r="A6" s="23" t="n"/>
      <c r="B6" s="24" t="inlineStr">
        <is>
          <t>ALTERNATYWA 1</t>
        </is>
      </c>
      <c r="C6" s="25" t="inlineStr">
        <is>
          <t>Martwy Ciąg Sumo z Kettlebell / Hantlem</t>
        </is>
      </c>
      <c r="D6" s="26" t="inlineStr">
        <is>
          <t>Pośladki, mięśnie przywodziciele ud, dwugłowe uda</t>
        </is>
      </c>
      <c r="E6" s="27" t="inlineStr">
        <is>
          <t>Martwy ciąg ze stóp rozstawionych bardzo szeroko (pozycja sumo), palce skręcone mocno na zewnątrz. Ciężar trzymany oburącz między nogami, opuszczany pionowo.</t>
        </is>
      </c>
      <c r="F6" s="27" t="inlineStr">
        <is>
          <t>• Kolana rozpychane mocno w kierunku palców stóp.
• Genialne ćwiczenie aktywujące pośladki i przywodziciele.
• Proste plecy przez cały ruch.</t>
        </is>
      </c>
      <c r="G6" s="28" t="inlineStr">
        <is>
          <t>3011
(3s dół, 1s spięcie)</t>
        </is>
      </c>
      <c r="H6" s="28" t="inlineStr">
        <is>
          <t>90 sek.</t>
        </is>
      </c>
      <c r="I6" s="28" t="inlineStr">
        <is>
          <t>3 x 10 - 12</t>
        </is>
      </c>
      <c r="J6" s="29" t="inlineStr">
        <is>
          <t>Kettlebell 16 - 20 kg</t>
        </is>
      </c>
      <c r="K6" s="30">
        <f>HYPERLINK("https://www.youtube.com/results?search_query=Martwy+ciag+sumo+z+kettlebell+technika", "▶ Oglądaj na YouTube")</f>
        <v/>
      </c>
    </row>
    <row r="7" ht="100" customHeight="1">
      <c r="A7" s="31" t="n"/>
      <c r="B7" s="32" t="inlineStr">
        <is>
          <t>ALTERNATYWA 2</t>
        </is>
      </c>
      <c r="C7" s="33" t="inlineStr">
        <is>
          <t>Uginanie nóg leżąc na maszynie (Leg Curl)</t>
        </is>
      </c>
      <c r="D7" s="34" t="inlineStr">
        <is>
          <t>Mięśnie dwugłowe uda, mięśnie łydki</t>
        </is>
      </c>
      <c r="E7" s="35" t="inlineStr">
        <is>
          <t>Uginanie kolan w leżeniu przodem na maszynie dedykowanej izolacji tylnej części ud. Wałek maszyny opiera się o dolną część piszczeli.</t>
        </is>
      </c>
      <c r="F7" s="35" t="inlineStr">
        <is>
          <t>• Przyciągaj wałek pionowo do pośladków bez odrywania bioder od ławki.
• Kontroluj opuszczanie obciążenia przez 3 sekundy.
• Izolowane wzmocnienie mięśni dwugłowych.</t>
        </is>
      </c>
      <c r="G7" s="36" t="inlineStr">
        <is>
          <t>3011
(3s powrót, 1s ugięcie)</t>
        </is>
      </c>
      <c r="H7" s="36" t="inlineStr">
        <is>
          <t>60 - 90 sek.</t>
        </is>
      </c>
      <c r="I7" s="36" t="inlineStr">
        <is>
          <t>3 x 10 - 12</t>
        </is>
      </c>
      <c r="J7" s="37" t="inlineStr">
        <is>
          <t>15 - 20 kg</t>
        </is>
      </c>
      <c r="K7" s="38">
        <f>HYPERLINK("https://www.youtube.com/results?search_query=Uginanie+nog+lezac+na+maszynie+technika", "▶ Oglądaj na YouTube")</f>
        <v/>
      </c>
    </row>
    <row r="8" ht="100" customHeight="1">
      <c r="A8" s="15" t="n">
        <v>2</v>
      </c>
      <c r="B8" s="16" t="inlineStr">
        <is>
          <t>GŁÓWNE</t>
        </is>
      </c>
      <c r="C8" s="17" t="inlineStr">
        <is>
          <t>Zakroki z hantlami w miejscu</t>
        </is>
      </c>
      <c r="D8" s="18" t="inlineStr">
        <is>
          <t>Pośladki, mięśnie czworogłowe uda, stabilizacja kolana</t>
        </is>
      </c>
      <c r="E8" s="19" t="inlineStr">
        <is>
          <t>Ćwiczenie jednonóż polegające na robieniu kroków w tył z pozycji stojącej i obniżaniu bioder pionowo w dół, aż kolano tylnej nogi znajdzie się tuż nad ziemią, a następnie powrocie w górę.</t>
        </is>
      </c>
      <c r="F8" s="19" t="inlineStr">
        <is>
          <t>• Zrób krok w tył i schodź pionowo w dół.
• Lekkie pochylenie tułowia w biodrze wzmacnia aktywację pośladka.
• UWAGA: Kolano przednie nie ucieka do środka! Prowadź je nad 2-3 palcem stopy.</t>
        </is>
      </c>
      <c r="G8" s="20" t="inlineStr">
        <is>
          <t>2010
(2s dół, 1s góra)</t>
        </is>
      </c>
      <c r="H8" s="20" t="inlineStr">
        <is>
          <t>60 - 90 sek.</t>
        </is>
      </c>
      <c r="I8" s="20" t="inlineStr">
        <is>
          <t>3 x 10-12 / nogę</t>
        </is>
      </c>
      <c r="J8" s="21" t="inlineStr">
        <is>
          <t>2x 6 - 8 kg</t>
        </is>
      </c>
      <c r="K8" s="22">
        <f>HYPERLINK("https://www.youtube.com/results?search_query=Zakroki+z+hantlami+technika", "▶ Oglądaj na YouTube")</f>
        <v/>
      </c>
    </row>
    <row r="9" ht="100" customHeight="1">
      <c r="A9" s="23" t="n"/>
      <c r="B9" s="24" t="inlineStr">
        <is>
          <t>ALTERNATYWA 1</t>
        </is>
      </c>
      <c r="C9" s="25" t="inlineStr">
        <is>
          <t>Przysiad bułgarski (Bulgarian Split Squat)</t>
        </is>
      </c>
      <c r="D9" s="26" t="inlineStr">
        <is>
          <t>Mięsień pośladkowy wielki i średni, czworogłowy uda</t>
        </is>
      </c>
      <c r="E9" s="27" t="inlineStr">
        <is>
          <t>Przysiad w wykroku ze stopą nogi zakrocznej (tylnej) opartą z tyłu na ławce treningowej. Obniżamy biodra pionowo w dół na przedniej nodze.</t>
        </is>
      </c>
      <c r="F9" s="27" t="inlineStr">
        <is>
          <t>• Pochylenie tułowia lekko do przodu (ok. 60°) przenosi nacisk na pośladek.
• Dociśnij piętę przedniej nogi do podłoża.
• Bardzo wysoka stymulacja pośladka!</t>
        </is>
      </c>
      <c r="G9" s="28" t="inlineStr">
        <is>
          <t>2010
(2s dół, 1s góra)</t>
        </is>
      </c>
      <c r="H9" s="28" t="inlineStr">
        <is>
          <t>60 - 90 sek.</t>
        </is>
      </c>
      <c r="I9" s="28" t="inlineStr">
        <is>
          <t>3 x 8-10 / nogę</t>
        </is>
      </c>
      <c r="J9" s="29" t="inlineStr">
        <is>
          <t>2x 4 - 6 kg (lub bez)</t>
        </is>
      </c>
      <c r="K9" s="30">
        <f>HYPERLINK("https://www.youtube.com/results?search_query=Przysiad+bulgarski+technika", "▶ Oglądaj na YouTube")</f>
        <v/>
      </c>
    </row>
    <row r="10" ht="100" customHeight="1">
      <c r="A10" s="31" t="n"/>
      <c r="B10" s="32" t="inlineStr">
        <is>
          <t>ALTERNATYWA 2</t>
        </is>
      </c>
      <c r="C10" s="33" t="inlineStr">
        <is>
          <t>Wejścia na skrzynię/step z hantlami (Step-Up)</t>
        </is>
      </c>
      <c r="D10" s="34" t="inlineStr">
        <is>
          <t>Mięsień pośladkowy wielki, czworogłowy uda, balans</t>
        </is>
      </c>
      <c r="E10" s="35" t="inlineStr">
        <is>
          <t>Wejście całą stopą na stabilną skrzynię lub podwyższony step (wysokość ok. kolana) i wypchnięcie ciała w górę siłą nogi wykonującej krok.</t>
        </is>
      </c>
      <c r="F10" s="35" t="inlineStr">
        <is>
          <t>• Wchodź wykonując ruch głównie z nogi stojącej na skrzyni (nie odbijaj się mocno z dolnej nogi!).
• Wyprostuj biodro na górze i zepnij pośladek.</t>
        </is>
      </c>
      <c r="G10" s="36" t="inlineStr">
        <is>
          <t>2010
(2s opuszczanie, 1s wejście)</t>
        </is>
      </c>
      <c r="H10" s="36" t="inlineStr">
        <is>
          <t>60 - 90 sek.</t>
        </is>
      </c>
      <c r="I10" s="36" t="inlineStr">
        <is>
          <t>3 x 10-12 / nogę</t>
        </is>
      </c>
      <c r="J10" s="37" t="inlineStr">
        <is>
          <t>2x 4 - 6 kg</t>
        </is>
      </c>
      <c r="K10" s="38">
        <f>HYPERLINK("https://www.youtube.com/results?search_query=Wejscia+na+skrzynie+Step+Up+z+hantlami+technika", "▶ Oglądaj na YouTube")</f>
        <v/>
      </c>
    </row>
    <row r="11" ht="100" customHeight="1">
      <c r="A11" s="15" t="n">
        <v>3</v>
      </c>
      <c r="B11" s="16" t="inlineStr">
        <is>
          <t>GŁÓWNE</t>
        </is>
      </c>
      <c r="C11" s="17" t="inlineStr">
        <is>
          <t>Wiosłowanie hantlem jednorącz o ławkę</t>
        </is>
      </c>
      <c r="D11" s="18" t="inlineStr">
        <is>
          <t>Najszerszy grzbietu, czworoboczny, obły większy</t>
        </is>
      </c>
      <c r="E11" s="19" t="inlineStr">
        <is>
          <t>Przyciąganie hantla jednorącz po łuku w kierunku biodra w opadzie tułowia, z kolanem i dłonią opartymi na poziomej ławce treningowej.</t>
        </is>
      </c>
      <c r="F11" s="19" t="inlineStr">
        <is>
          <t>• Kolano i dłoń oparte na ławce, plecy proste i równoległe do podłogi.
• Przyciągaj hantel kierując łokieć do biodra.
• Inicjuj ruch od łopatki, nie skręcaj tułowia.</t>
        </is>
      </c>
      <c r="G11" s="20" t="inlineStr">
        <is>
          <t>2011
(2s dół, 1s spięcie)</t>
        </is>
      </c>
      <c r="H11" s="20" t="inlineStr">
        <is>
          <t>60 - 90 sek.</t>
        </is>
      </c>
      <c r="I11" s="20" t="inlineStr">
        <is>
          <t>3 x 10-12 / stronę</t>
        </is>
      </c>
      <c r="J11" s="21" t="inlineStr">
        <is>
          <t>8 - 10 kg</t>
        </is>
      </c>
      <c r="K11" s="22">
        <f>HYPERLINK("https://www.youtube.com/results?search_query=Wioslowanie+hantlem+jednoracz+o+lawke+technika", "▶ Oglądaj na YouTube")</f>
        <v/>
      </c>
    </row>
    <row r="12" ht="100" customHeight="1">
      <c r="A12" s="23" t="n"/>
      <c r="B12" s="24" t="inlineStr">
        <is>
          <t>ALTERNATYWA 1</t>
        </is>
      </c>
      <c r="C12" s="25" t="inlineStr">
        <is>
          <t>Wiosłowanie na wyciągu dolnym siedząc</t>
        </is>
      </c>
      <c r="D12" s="26" t="inlineStr">
        <is>
          <t>Mięsień najszerszy grzbietu, równoległoboczne</t>
        </is>
      </c>
      <c r="E12" s="27" t="inlineStr">
        <is>
          <t>Przyciąganie uchwytu neutralnego wyciągu dolnego w stronę podbrzusza w pozycji siedzącej z ugiętymi kolanami i prostym tułowiem.</t>
        </is>
      </c>
      <c r="F12" s="27" t="inlineStr">
        <is>
          <t>• Nie bujaj tułowiem w przód i tył.
• Ściągaj łopatki w tył i w dół, wypinając klatkę piersiową w momencie dociągnięcia uchwytu.</t>
        </is>
      </c>
      <c r="G12" s="28" t="inlineStr">
        <is>
          <t>2011
(2s przód, 1s spięcie)</t>
        </is>
      </c>
      <c r="H12" s="28" t="inlineStr">
        <is>
          <t>60 - 90 sek.</t>
        </is>
      </c>
      <c r="I12" s="28" t="inlineStr">
        <is>
          <t>3 x 10 - 12</t>
        </is>
      </c>
      <c r="J12" s="29" t="inlineStr">
        <is>
          <t>15 - 20 kg</t>
        </is>
      </c>
      <c r="K12" s="30">
        <f>HYPERLINK("https://www.youtube.com/results?search_query=Wioslowanie+na+wyciagu+dolnym+siedzac+technika", "▶ Oglądaj na YouTube")</f>
        <v/>
      </c>
    </row>
    <row r="13" ht="100" customHeight="1">
      <c r="A13" s="31" t="n"/>
      <c r="B13" s="32" t="inlineStr">
        <is>
          <t>ALTERNATYWA 2</t>
        </is>
      </c>
      <c r="C13" s="33" t="inlineStr">
        <is>
          <t>Wiosłowanie na maszynie z oparciem o klatkę</t>
        </is>
      </c>
      <c r="D13" s="34" t="inlineStr">
        <is>
          <t>Czworoboczny, najszerszy grzbietu, retraktory łopatek</t>
        </is>
      </c>
      <c r="E13" s="35" t="inlineStr">
        <is>
          <t>Przyciąganie ramion maszyny do klatki piersiowej w pozycji siedzącej, z klatką piersiową dociśniętą do przedniej poduszki stabilizującej tułów.</t>
        </is>
      </c>
      <c r="F13" s="35" t="inlineStr">
        <is>
          <t>• Oparcie klatki całkowicie eliminuje obciążenie dolnych pleców.
• Skup się w 100% na przyciąganiu łopatek do kręgosłupa na końcu ruchu.</t>
        </is>
      </c>
      <c r="G13" s="36" t="inlineStr">
        <is>
          <t>2011
(2s wyprost, 1s spięcie)</t>
        </is>
      </c>
      <c r="H13" s="36" t="inlineStr">
        <is>
          <t>60 - 90 sek.</t>
        </is>
      </c>
      <c r="I13" s="36" t="inlineStr">
        <is>
          <t>3 x 10 - 12</t>
        </is>
      </c>
      <c r="J13" s="37" t="inlineStr">
        <is>
          <t>15 - 20 kg</t>
        </is>
      </c>
      <c r="K13" s="38">
        <f>HYPERLINK("https://www.youtube.com/results?search_query=Wioslowanie+na+maszynie+z+oparciem+technika", "▶ Oglądaj na YouTube")</f>
        <v/>
      </c>
    </row>
    <row r="14" ht="100" customHeight="1">
      <c r="A14" s="15" t="n">
        <v>4</v>
      </c>
      <c r="B14" s="16" t="inlineStr">
        <is>
          <t>GŁÓWNE</t>
        </is>
      </c>
      <c r="C14" s="17" t="inlineStr">
        <is>
          <t>Wyciskanie hantli nad głowę (OHP) w siadzie</t>
        </is>
      </c>
      <c r="D14" s="18" t="inlineStr">
        <is>
          <t>Mięśnie naramienne (barki), triceps, łopatki</t>
        </is>
      </c>
      <c r="E14" s="19" t="inlineStr">
        <is>
          <t>Pionowe wyciskanie dwóch hantli z wysokości uszu nad głowę w pozycji siedzącej na ławce z wysokim oparciem.</t>
        </is>
      </c>
      <c r="F14" s="19" t="inlineStr">
        <is>
          <t>• Oparcie ławki pod kątem 80-85°.
• Plecy dociśnięte, brzuch spięty.
• Prowadź hantle lekko przed sobą (w płaszczyźnie łopatki). Nie wyginaj lędźwi!</t>
        </is>
      </c>
      <c r="G14" s="20" t="inlineStr">
        <is>
          <t>3010
(3s dół, 1s wyciśnięcie)</t>
        </is>
      </c>
      <c r="H14" s="20" t="inlineStr">
        <is>
          <t>60 - 90 sek.</t>
        </is>
      </c>
      <c r="I14" s="20" t="inlineStr">
        <is>
          <t>3 x 10 - 12</t>
        </is>
      </c>
      <c r="J14" s="21" t="inlineStr">
        <is>
          <t>2x 5 - 6 kg</t>
        </is>
      </c>
      <c r="K14" s="22">
        <f>HYPERLINK("https://www.youtube.com/results?search_query=Wyciskanie+hantli+nad+glowe+OHP+w+siadze+technika", "▶ Oglądaj na YouTube")</f>
        <v/>
      </c>
    </row>
    <row r="15" ht="100" customHeight="1">
      <c r="A15" s="23" t="n"/>
      <c r="B15" s="24" t="inlineStr">
        <is>
          <t>ALTERNATYWA 1</t>
        </is>
      </c>
      <c r="C15" s="25" t="inlineStr">
        <is>
          <t>Landmine Press jednorącz w klęku jednonóż</t>
        </is>
      </c>
      <c r="D15" s="26" t="inlineStr">
        <is>
          <t>Przedni i środkowy akton naramiennego, klatka, core</t>
        </is>
      </c>
      <c r="E15" s="27" t="inlineStr">
        <is>
          <t>Wyciskanie końca sztangi osadzonej w przegubie (lub w kącie ściany) jedną ręką z pozycji klęku jednonóż.</t>
        </is>
      </c>
      <c r="F15" s="27" t="inlineStr">
        <is>
          <t>• Niezwykle bezpieczne dla stawów barkowych!
• Ruch prowadzi po łuku w górę i lekko w przód.
• Wymaga spięcia pośladka i brzucha przeciw nachyleniu.</t>
        </is>
      </c>
      <c r="G15" s="28" t="inlineStr">
        <is>
          <t>2010
(2s dół, 1s wyciśnięcie)</t>
        </is>
      </c>
      <c r="H15" s="28" t="inlineStr">
        <is>
          <t>60 sek.</t>
        </is>
      </c>
      <c r="I15" s="28" t="inlineStr">
        <is>
          <t>3 x 10-12 / stronę</t>
        </is>
      </c>
      <c r="J15" s="29" t="inlineStr">
        <is>
          <t>Gryf + 2.5 - 5 kg</t>
        </is>
      </c>
      <c r="K15" s="30">
        <f>HYPERLINK("https://www.youtube.com/results?search_query=Landmine+Press+jednoracz+technika", "▶ Oglądaj na YouTube")</f>
        <v/>
      </c>
    </row>
    <row r="16" ht="100" customHeight="1">
      <c r="A16" s="31" t="n"/>
      <c r="B16" s="32" t="inlineStr">
        <is>
          <t>ALTERNATYWA 2</t>
        </is>
      </c>
      <c r="C16" s="33" t="inlineStr">
        <is>
          <t>Unoszenie hantli bokiem (Lateral Raise)</t>
        </is>
      </c>
      <c r="D16" s="34" t="inlineStr">
        <is>
          <t>Boczny (środkowy) akton mięśnia naramiennego</t>
        </is>
      </c>
      <c r="E16" s="35" t="inlineStr">
        <is>
          <t>Unoszenie dwóch hantli na boki do wysokości linii barków z lekkim ugięciem w łokciach w pozycji stojącej lub siedzącej.</t>
        </is>
      </c>
      <c r="F16" s="35" t="inlineStr">
        <is>
          <t>• Prowadź dłonie z hantlami lekko w przód (ok. 15° od płaszczyzny ciała).
• Unikaj szarpania tułowiem i podnoszenia barków do uszu.
• Genialne budowanie kształtnych barków.</t>
        </is>
      </c>
      <c r="G16" s="36" t="inlineStr">
        <is>
          <t>2010
(2s dół, 1s wznos)</t>
        </is>
      </c>
      <c r="H16" s="36" t="inlineStr">
        <is>
          <t>60 sek.</t>
        </is>
      </c>
      <c r="I16" s="36" t="inlineStr">
        <is>
          <t>3 x 12 - 15</t>
        </is>
      </c>
      <c r="J16" s="37" t="inlineStr">
        <is>
          <t>2x 2 - 4 kg</t>
        </is>
      </c>
      <c r="K16" s="38">
        <f>HYPERLINK("https://www.youtube.com/results?search_query=Unoszenie+hantli+bokiem+Lateral+Raise+technika", "▶ Oglądaj na YouTube")</f>
        <v/>
      </c>
    </row>
    <row r="17" ht="100" customHeight="1">
      <c r="A17" s="15" t="n">
        <v>5</v>
      </c>
      <c r="B17" s="16" t="inlineStr">
        <is>
          <t>GŁÓWNE</t>
        </is>
      </c>
      <c r="C17" s="17" t="inlineStr">
        <is>
          <t>Face Pull z liną wyciągu górnego</t>
        </is>
      </c>
      <c r="D17" s="18" t="inlineStr">
        <is>
          <t>Tył barku, rotatory ramienia, czworoboczny (postawa)</t>
        </is>
      </c>
      <c r="E17" s="19" t="inlineStr">
        <is>
          <t>Przyciąganie lina wyciągu do czoła/brwi z jednoczesnym rozchylaniem dłoni na boki i rotacją ramion na zewnątrz.</t>
        </is>
      </c>
      <c r="F17" s="19" t="inlineStr">
        <is>
          <t>• Wyciąg na wysokości nosa/klatki.
• Chwyt z kciukami skierowanymi w tył.
• Dłonie wyżej niż łokcie na końcu ruchu.
• Ściągaj łopatki w dół i do siebie.</t>
        </is>
      </c>
      <c r="G17" s="20" t="inlineStr">
        <is>
          <t>2011
(2s powrót, 1s spięcie)</t>
        </is>
      </c>
      <c r="H17" s="20" t="inlineStr">
        <is>
          <t>45 - 60 sek.</t>
        </is>
      </c>
      <c r="I17" s="20" t="inlineStr">
        <is>
          <t>3 x 12 - 15</t>
        </is>
      </c>
      <c r="J17" s="21" t="inlineStr">
        <is>
          <t>10 - 12.5 kg</t>
        </is>
      </c>
      <c r="K17" s="22">
        <f>HYPERLINK("https://www.youtube.com/results?search_query=Face+Pull+z+lina+wyciagu+technika", "▶ Oglądaj na YouTube")</f>
        <v/>
      </c>
    </row>
    <row r="18" ht="100" customHeight="1">
      <c r="A18" s="23" t="n"/>
      <c r="B18" s="24" t="inlineStr">
        <is>
          <t>ALTERNATYWA 1</t>
        </is>
      </c>
      <c r="C18" s="25" t="inlineStr">
        <is>
          <t>Reverse Flyes (Unoszenie hantli w opadzie tułowia)</t>
        </is>
      </c>
      <c r="D18" s="26" t="inlineStr">
        <is>
          <t>Tylny akton naramiennego, mięśnie równoległoboczne</t>
        </is>
      </c>
      <c r="E18" s="27" t="inlineStr">
        <is>
          <t>Unoszenie hantli na boki w opadzie tułowia (pochylenie tułowia prawie równolegle do podłogi z prostymi plecami) z ugiętymi łokciami.</t>
        </is>
      </c>
      <c r="F18" s="27" t="inlineStr">
        <is>
          <t>• Koncentruj się na ruchu tyłu barków i przyciąganiu łopatek.
• Nie szarp tułowiem w górę.
• Lekkie hantle zapewnią genialne czucie mięśniowe.</t>
        </is>
      </c>
      <c r="G18" s="28" t="inlineStr">
        <is>
          <t>2011
(2s dół, 1s spięcie)</t>
        </is>
      </c>
      <c r="H18" s="28" t="inlineStr">
        <is>
          <t>45 - 60 sek.</t>
        </is>
      </c>
      <c r="I18" s="28" t="inlineStr">
        <is>
          <t>3 x 12 - 15</t>
        </is>
      </c>
      <c r="J18" s="29" t="inlineStr">
        <is>
          <t>2x 2 - 4 kg</t>
        </is>
      </c>
      <c r="K18" s="30">
        <f>HYPERLINK("https://www.youtube.com/results?search_query=Reverse+Flyes+unoszenie+hantli+w+opadzie+technika", "▶ Oglądaj na YouTube")</f>
        <v/>
      </c>
    </row>
    <row r="19" ht="100" customHeight="1">
      <c r="A19" s="31" t="n"/>
      <c r="B19" s="32" t="inlineStr">
        <is>
          <t>ALTERNATYWA 2</t>
        </is>
      </c>
      <c r="C19" s="33" t="inlineStr">
        <is>
          <t>Y-Raise na ławce skośnej leżąc przodem</t>
        </is>
      </c>
      <c r="D19" s="34" t="inlineStr">
        <is>
          <t>Dolna część czworobocznego, tył barków, retraktory</t>
        </is>
      </c>
      <c r="E19" s="35" t="inlineStr">
        <is>
          <t>Leżąc przodem na ławce skośnej (kąt 30-45°), unosisz ramiona z lekkimi hantlami po przekątnej w kształt litery 'Y' z kciukami skierowanymi w górę.</t>
        </is>
      </c>
      <c r="F19" s="35" t="inlineStr">
        <is>
          <t>• Genialne ćwiczenie fizjoterapeutyczne wzmacniające dolny czworoboczny i stabilizujące łopatkę.
• Ruch powolny i czysty, bez pomocy pędu.</t>
        </is>
      </c>
      <c r="G19" s="36" t="inlineStr">
        <is>
          <t>2011
(2s dół, 1s spięcie)</t>
        </is>
      </c>
      <c r="H19" s="36" t="inlineStr">
        <is>
          <t>45 - 60 sek.</t>
        </is>
      </c>
      <c r="I19" s="36" t="inlineStr">
        <is>
          <t>3 x 12 - 15</t>
        </is>
      </c>
      <c r="J19" s="37" t="inlineStr">
        <is>
          <t>2x 1 - 3 kg (lub masa rąk)</t>
        </is>
      </c>
      <c r="K19" s="38">
        <f>HYPERLINK("https://www.youtube.com/results?search_query=Y+Raise+na+lawce+skosnej+technika", "▶ Oglądaj na YouTube")</f>
        <v/>
      </c>
    </row>
    <row r="21">
      <c r="A21" s="39" t="inlineStr">
        <is>
          <t>💡 Wskazówka Trenera: Kliknij przycisk '▶ Oglądaj na YouTube' w ostatniej kolumnie przy wybranym ćwiczeniu, aby natychmiast otworzyć dokładny wideo-instruktaż techniczny!</t>
        </is>
      </c>
    </row>
    <row r="22"/>
  </sheetData>
  <mergeCells count="8">
    <mergeCell ref="A8:A10"/>
    <mergeCell ref="A17:A19"/>
    <mergeCell ref="A2:K2"/>
    <mergeCell ref="A11:A13"/>
    <mergeCell ref="A5:A7"/>
    <mergeCell ref="A14:A16"/>
    <mergeCell ref="A1:K1"/>
    <mergeCell ref="A21:K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2026-07-29T20:23:19Z</dcterms:created>
  <dcterms:modified xmlns:dcterms="http://purl.org/dc/terms/" xmlns:xsi="http://www.w3.org/2001/XMLSchema-instance" xsi:type="dcterms:W3CDTF">2026-07-29T20:23:19Z</dcterms:modified>
</cp:coreProperties>
</file>